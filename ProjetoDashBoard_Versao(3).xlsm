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Override1.xml" ContentType="application/vnd.openxmlformats-officedocument.themeOverride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orkbook" defaultThemeVersion="124226"/>
  <bookViews>
    <workbookView xWindow="480" yWindow="390" windowWidth="14880" windowHeight="8730" activeTab="3"/>
  </bookViews>
  <sheets>
    <sheet name="Projeto" sheetId="5" r:id="rId1"/>
    <sheet name="BackLogProduto" sheetId="1" r:id="rId2"/>
    <sheet name="Sprints" sheetId="2" r:id="rId3"/>
    <sheet name="Atividades" sheetId="3" r:id="rId4"/>
    <sheet name="Bugs" sheetId="6" r:id="rId5"/>
  </sheets>
  <functionGroups builtInGroupCount="17"/>
  <calcPr calcId="145621"/>
</workbook>
</file>

<file path=xl/calcChain.xml><?xml version="1.0" encoding="utf-8"?>
<calcChain xmlns="http://schemas.openxmlformats.org/spreadsheetml/2006/main">
  <c r="K2" i="1" l="1"/>
  <c r="I4" i="6"/>
  <c r="I3" i="6"/>
  <c r="K37" i="3"/>
  <c r="K39" i="3"/>
  <c r="K38" i="3"/>
  <c r="K33" i="3"/>
  <c r="K35" i="3"/>
  <c r="K34" i="3"/>
  <c r="I6" i="1" l="1"/>
  <c r="I5" i="1"/>
  <c r="I4" i="1"/>
  <c r="J2" i="1" l="1"/>
  <c r="F2" i="2" l="1"/>
  <c r="F3" i="2" s="1"/>
  <c r="F4" i="2" s="1"/>
  <c r="F5" i="2" s="1"/>
  <c r="F6" i="2" s="1"/>
  <c r="I7" i="1"/>
  <c r="J7" i="1" s="1"/>
  <c r="J2" i="2"/>
  <c r="M34" i="3"/>
  <c r="M35" i="3"/>
  <c r="M33" i="3" l="1"/>
  <c r="N29" i="3" l="1"/>
  <c r="M29" i="3"/>
  <c r="E2" i="5" l="1"/>
  <c r="M30" i="3" l="1"/>
</calcChain>
</file>

<file path=xl/sharedStrings.xml><?xml version="1.0" encoding="utf-8"?>
<sst xmlns="http://schemas.openxmlformats.org/spreadsheetml/2006/main" count="168" uniqueCount="89">
  <si>
    <t>ID</t>
  </si>
  <si>
    <t>Nome</t>
  </si>
  <si>
    <t>Prioridade</t>
  </si>
  <si>
    <t>Desmonstrar</t>
  </si>
  <si>
    <t>Notas</t>
  </si>
  <si>
    <t>Mostrar burn dowm</t>
  </si>
  <si>
    <t>Exibir BackLog Produto</t>
  </si>
  <si>
    <t>Numero</t>
  </si>
  <si>
    <t>ID BackLog</t>
  </si>
  <si>
    <t>Exibir interface de Eventos</t>
  </si>
  <si>
    <t>Status</t>
  </si>
  <si>
    <t>Exibir Atividades</t>
  </si>
  <si>
    <t>interface deve exibir guias dos eventos</t>
  </si>
  <si>
    <t>exibir as atividades dos respectivos sprints</t>
  </si>
  <si>
    <t>exibir as gráfico burndown respectivos sprints</t>
  </si>
  <si>
    <t>listar em ordem de prioridade</t>
  </si>
  <si>
    <t>listar por recursos utilizados</t>
  </si>
  <si>
    <t>deve possibilitar visualizar planejadoXexecutado</t>
  </si>
  <si>
    <t>tipo</t>
  </si>
  <si>
    <t>problemas</t>
  </si>
  <si>
    <t>atividade</t>
  </si>
  <si>
    <t>Estimado/h</t>
  </si>
  <si>
    <t>Realizado/h</t>
  </si>
  <si>
    <t>mostrar layout e demostrar  navegação</t>
  </si>
  <si>
    <t>Listar itens do backlog</t>
  </si>
  <si>
    <t>Fitrar o BackLog por status</t>
  </si>
  <si>
    <t>Pendente</t>
  </si>
  <si>
    <t>Executar o filtro para as categorias</t>
  </si>
  <si>
    <t>o status deve ser "Pendente" ou "Pronto"</t>
  </si>
  <si>
    <t xml:space="preserve">Data Inicio </t>
  </si>
  <si>
    <t>Data Fim</t>
  </si>
  <si>
    <t>Pontuação Previsto</t>
  </si>
  <si>
    <t>Realizado Realizado</t>
  </si>
  <si>
    <t>Item</t>
  </si>
  <si>
    <t>dias</t>
  </si>
  <si>
    <t>melhor caso</t>
  </si>
  <si>
    <t>Pior caso para mais</t>
  </si>
  <si>
    <t>Pior caso para menos</t>
  </si>
  <si>
    <t>misto</t>
  </si>
  <si>
    <t>Codigo</t>
  </si>
  <si>
    <t>Data Prevista Entrega</t>
  </si>
  <si>
    <t>Tempo Restante</t>
  </si>
  <si>
    <t>Data Inicio</t>
  </si>
  <si>
    <t>Tamanho</t>
  </si>
  <si>
    <t>Solução</t>
  </si>
  <si>
    <t>Causa</t>
  </si>
  <si>
    <t>Problema</t>
  </si>
  <si>
    <t>Melhor Caso</t>
  </si>
  <si>
    <t>Pior caso +</t>
  </si>
  <si>
    <t>Tempo</t>
  </si>
  <si>
    <t>Dash_SCRUM</t>
  </si>
  <si>
    <t>Nivel</t>
  </si>
  <si>
    <t>#R001TF1</t>
  </si>
  <si>
    <t>#R001TF2</t>
  </si>
  <si>
    <t>#R001TF3</t>
  </si>
  <si>
    <t>#R001TF4</t>
  </si>
  <si>
    <t>#R001TF5</t>
  </si>
  <si>
    <t>#R001TF6</t>
  </si>
  <si>
    <t>tempo aberto</t>
  </si>
  <si>
    <t>Desenvolvimento</t>
  </si>
  <si>
    <t>Modelagem</t>
  </si>
  <si>
    <t>Teste</t>
  </si>
  <si>
    <t>Documentacao</t>
  </si>
  <si>
    <t>Aprovada</t>
  </si>
  <si>
    <t>Total</t>
  </si>
  <si>
    <t>Bugs</t>
  </si>
  <si>
    <t>Atual</t>
  </si>
  <si>
    <t>Erro ao Plotar Grafico</t>
  </si>
  <si>
    <t xml:space="preserve">Privilégio </t>
  </si>
  <si>
    <t>executar como adm</t>
  </si>
  <si>
    <t>NrSprint</t>
  </si>
  <si>
    <t>#RF101</t>
  </si>
  <si>
    <t>#RF102</t>
  </si>
  <si>
    <t>#RF103</t>
  </si>
  <si>
    <t>#RF104</t>
  </si>
  <si>
    <t>#RF105</t>
  </si>
  <si>
    <t>#RF101.1</t>
  </si>
  <si>
    <t>Sprint</t>
  </si>
  <si>
    <t>MediaEquipe</t>
  </si>
  <si>
    <t>Planejado</t>
  </si>
  <si>
    <t>Realizado</t>
  </si>
  <si>
    <t>Dias</t>
  </si>
  <si>
    <t>CodTask</t>
  </si>
  <si>
    <t>Concluida</t>
  </si>
  <si>
    <t>atual</t>
  </si>
  <si>
    <t>Nivel 2</t>
  </si>
  <si>
    <t>TamanhoP</t>
  </si>
  <si>
    <t>TamanhoR</t>
  </si>
  <si>
    <t>concluido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</si>
</sst>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NumberFormat="1"/>
    <xf numFmtId="14" fontId="0" fillId="0" borderId="0" xfId="0" applyNumberFormat="1"/>
    <xf numFmtId="2" fontId="0" fillId="0" borderId="0" xfId="0" applyNumberFormat="1"/>
    <xf numFmtId="0" fontId="1" fillId="2" borderId="0" xfId="0" applyNumberFormat="1" applyFont="1" applyFill="1"/>
    <xf numFmtId="0" fontId="1" fillId="2" borderId="0" xfId="0" applyFont="1" applyFill="1"/>
    <xf numFmtId="0" fontId="0" fillId="0" borderId="0" xfId="0" applyFill="1"/>
    <xf numFmtId="1" fontId="0" fillId="0" borderId="0" xfId="0" applyNumberFormat="1"/>
    <xf numFmtId="9" fontId="0" fillId="0" borderId="0" xfId="0" applyNumberFormat="1"/>
    <xf numFmtId="1" fontId="1" fillId="2" borderId="0" xfId="0" applyNumberFormat="1" applyFont="1" applyFill="1"/>
    <xf numFmtId="15" fontId="0" fillId="0" borderId="0" xfId="0" applyNumberFormat="1"/>
    <xf numFmtId="0" fontId="0" fillId="3" borderId="0" xfId="0" applyFill="1"/>
    <xf numFmtId="1" fontId="0" fillId="3" borderId="0" xfId="0" applyNumberFormat="1" applyFill="1"/>
    <xf numFmtId="0" fontId="0" fillId="3" borderId="0" xfId="0" applyNumberFormat="1" applyFill="1"/>
    <xf numFmtId="0" fontId="3" fillId="4" borderId="1" xfId="0" applyFont="1" applyFill="1" applyBorder="1" applyAlignment="1">
      <alignment horizontal="center"/>
    </xf>
    <xf numFmtId="9" fontId="0" fillId="3" borderId="0" xfId="0" applyNumberFormat="1" applyFill="1"/>
    <xf numFmtId="0" fontId="1" fillId="2" borderId="0" xfId="0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0" fontId="0" fillId="5" borderId="0" xfId="0" applyFill="1"/>
    <xf numFmtId="1" fontId="0" fillId="5" borderId="0" xfId="0" applyNumberFormat="1" applyFill="1"/>
    <xf numFmtId="2" fontId="0" fillId="5" borderId="0" xfId="0" applyNumberFormat="1" applyFill="1"/>
    <xf numFmtId="9" fontId="0" fillId="5" borderId="0" xfId="0" applyNumberFormat="1" applyFill="1"/>
    <xf numFmtId="2" fontId="0" fillId="5" borderId="0" xfId="1" applyNumberFormat="1" applyFont="1" applyFill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colors>
    <mruColors>
      <color rgb="FF1AB621"/>
      <color rgb="FF12FA18"/>
      <color rgb="FF1F03ED"/>
      <color rgb="FF2299EA"/>
      <color rgb="FFE7E4D5"/>
      <color rgb="FF50260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0"/>
        <c:ser>
          <c:idx val="0"/>
          <c:order val="0"/>
          <c:spPr>
            <a:noFill/>
            <a:ln w="3810">
              <a:noFill/>
            </a:ln>
          </c:spPr>
          <c:dPt>
            <c:idx val="0"/>
            <c:bubble3D val="0"/>
            <c:explosion val="2"/>
            <c:spPr>
              <a:solidFill>
                <a:srgbClr val="1AB621">
                  <a:alpha val="70000"/>
                </a:srgbClr>
              </a:solidFill>
              <a:ln w="3810">
                <a:noFill/>
              </a:ln>
            </c:spPr>
          </c:dPt>
          <c:val>
            <c:numRef>
              <c:f>BackLogProduto!$I$7:$J$7</c:f>
              <c:numCache>
                <c:formatCode>0%</c:formatCode>
                <c:ptCount val="2"/>
                <c:pt idx="0">
                  <c:v>0.81818181818181823</c:v>
                </c:pt>
                <c:pt idx="1">
                  <c:v>0.18181818181818177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55568053993251E-2"/>
          <c:y val="0.13982834645669293"/>
          <c:w val="0.96944444444444444"/>
          <c:h val="0.680171653543307"/>
        </c:manualLayout>
      </c:layout>
      <c:barChart>
        <c:barDir val="bar"/>
        <c:grouping val="clustered"/>
        <c:varyColors val="0"/>
        <c:ser>
          <c:idx val="0"/>
          <c:order val="0"/>
          <c:tx>
            <c:v>Total</c:v>
          </c:tx>
          <c:spPr>
            <a:solidFill>
              <a:srgbClr val="2299EA">
                <a:alpha val="70000"/>
              </a:srgbClr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sz="1100" b="1">
                    <a:latin typeface="Tahoma" pitchFamily="34" charset="0"/>
                    <a:ea typeface="Tahoma" pitchFamily="34" charset="0"/>
                    <a:cs typeface="Tahoma" pitchFamily="34" charset="0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BackLogProduto!$I$4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</c:ser>
        <c:ser>
          <c:idx val="2"/>
          <c:order val="1"/>
          <c:tx>
            <c:v>Concluídos</c:v>
          </c:tx>
          <c:spPr>
            <a:solidFill>
              <a:srgbClr val="1AB621">
                <a:alpha val="70000"/>
              </a:srgbClr>
            </a:solidFill>
          </c:spPr>
          <c:invertIfNegative val="0"/>
          <c:dLbls>
            <c:txPr>
              <a:bodyPr/>
              <a:lstStyle/>
              <a:p>
                <a:pPr>
                  <a:defRPr sz="1100" b="1">
                    <a:latin typeface="Tahoma" pitchFamily="34" charset="0"/>
                    <a:ea typeface="Tahoma" pitchFamily="34" charset="0"/>
                    <a:cs typeface="Tahoma" pitchFamily="34" charset="0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BackLogProduto!$I$6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</c:ser>
        <c:ser>
          <c:idx val="1"/>
          <c:order val="2"/>
          <c:tx>
            <c:v>Pendentes</c:v>
          </c:tx>
          <c:spPr>
            <a:solidFill>
              <a:srgbClr val="FF0000">
                <a:alpha val="70000"/>
              </a:srgbClr>
            </a:solidFill>
          </c:spPr>
          <c:invertIfNegative val="0"/>
          <c:dLbls>
            <c:txPr>
              <a:bodyPr/>
              <a:lstStyle/>
              <a:p>
                <a:pPr>
                  <a:defRPr sz="1100" b="1">
                    <a:latin typeface="Tahoma" pitchFamily="34" charset="0"/>
                    <a:ea typeface="Tahoma" pitchFamily="34" charset="0"/>
                    <a:cs typeface="Tahoma" pitchFamily="34" charset="0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BackLogProduto!$I$5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11158016"/>
        <c:axId val="111159552"/>
      </c:barChart>
      <c:catAx>
        <c:axId val="111158016"/>
        <c:scaling>
          <c:orientation val="minMax"/>
        </c:scaling>
        <c:delete val="1"/>
        <c:axPos val="l"/>
        <c:majorTickMark val="out"/>
        <c:minorTickMark val="none"/>
        <c:tickLblPos val="nextTo"/>
        <c:crossAx val="111159552"/>
        <c:crosses val="autoZero"/>
        <c:auto val="1"/>
        <c:lblAlgn val="ctr"/>
        <c:lblOffset val="100"/>
        <c:noMultiLvlLbl val="0"/>
      </c:catAx>
      <c:valAx>
        <c:axId val="111159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15801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71333905044048"/>
          <c:y val="4.8615310778447655E-2"/>
          <c:w val="0.86179815263476667"/>
          <c:h val="0.75835787401574806"/>
        </c:manualLayout>
      </c:layout>
      <c:lineChart>
        <c:grouping val="standard"/>
        <c:varyColors val="0"/>
        <c:ser>
          <c:idx val="0"/>
          <c:order val="0"/>
          <c:tx>
            <c:v>Planejado</c:v>
          </c:tx>
          <c:marker>
            <c:symbol val="diamond"/>
            <c:size val="8"/>
          </c:marker>
          <c:cat>
            <c:numRef>
              <c:f>Sprints!$H$2:$H$9</c:f>
              <c:numCache>
                <c:formatCode>d\-mmm\-yy</c:formatCode>
                <c:ptCount val="8"/>
                <c:pt idx="0">
                  <c:v>42125</c:v>
                </c:pt>
                <c:pt idx="1">
                  <c:v>42132</c:v>
                </c:pt>
                <c:pt idx="2">
                  <c:v>42140</c:v>
                </c:pt>
                <c:pt idx="3">
                  <c:v>42148</c:v>
                </c:pt>
                <c:pt idx="4">
                  <c:v>42156</c:v>
                </c:pt>
                <c:pt idx="5">
                  <c:v>42164</c:v>
                </c:pt>
              </c:numCache>
            </c:numRef>
          </c:cat>
          <c:val>
            <c:numRef>
              <c:f>Sprints!$F$2:$F$9</c:f>
              <c:numCache>
                <c:formatCode>0</c:formatCode>
                <c:ptCount val="8"/>
                <c:pt idx="0">
                  <c:v>180</c:v>
                </c:pt>
                <c:pt idx="1">
                  <c:v>140</c:v>
                </c:pt>
                <c:pt idx="2">
                  <c:v>100</c:v>
                </c:pt>
                <c:pt idx="3">
                  <c:v>60</c:v>
                </c:pt>
                <c:pt idx="4">
                  <c:v>20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Realizado</c:v>
          </c:tx>
          <c:spPr>
            <a:ln w="0">
              <a:noFill/>
              <a:prstDash val="sysDash"/>
            </a:ln>
          </c:spPr>
          <c:marker>
            <c:symbol val="x"/>
            <c:size val="7"/>
            <c:spPr>
              <a:ln w="19050">
                <a:solidFill>
                  <a:srgbClr val="FF0000"/>
                </a:solidFill>
              </a:ln>
            </c:spPr>
          </c:marker>
          <c:trendline>
            <c:name>Tendência</c:name>
            <c:spPr>
              <a:ln w="25400">
                <a:solidFill>
                  <a:srgbClr val="FF0000"/>
                </a:solidFill>
                <a:prstDash val="sysDash"/>
              </a:ln>
            </c:spPr>
            <c:trendlineType val="linear"/>
            <c:dispRSqr val="0"/>
            <c:dispEq val="0"/>
          </c:trendline>
          <c:cat>
            <c:numRef>
              <c:f>Sprints!$H$2:$H$9</c:f>
              <c:numCache>
                <c:formatCode>d\-mmm\-yy</c:formatCode>
                <c:ptCount val="8"/>
                <c:pt idx="0">
                  <c:v>42125</c:v>
                </c:pt>
                <c:pt idx="1">
                  <c:v>42132</c:v>
                </c:pt>
                <c:pt idx="2">
                  <c:v>42140</c:v>
                </c:pt>
                <c:pt idx="3">
                  <c:v>42148</c:v>
                </c:pt>
                <c:pt idx="4">
                  <c:v>42156</c:v>
                </c:pt>
                <c:pt idx="5">
                  <c:v>42164</c:v>
                </c:pt>
              </c:numCache>
            </c:numRef>
          </c:cat>
          <c:val>
            <c:numRef>
              <c:f>Sprints!$G$2:$G$12</c:f>
              <c:numCache>
                <c:formatCode>General</c:formatCode>
                <c:ptCount val="11"/>
                <c:pt idx="0">
                  <c:v>170</c:v>
                </c:pt>
                <c:pt idx="1">
                  <c:v>150</c:v>
                </c:pt>
                <c:pt idx="2">
                  <c:v>90</c:v>
                </c:pt>
                <c:pt idx="3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/>
        <c:marker val="1"/>
        <c:smooth val="0"/>
        <c:axId val="111288704"/>
        <c:axId val="111290624"/>
      </c:lineChart>
      <c:dateAx>
        <c:axId val="111288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 sz="1100" b="1">
                    <a:latin typeface="Tahoma" pitchFamily="34" charset="0"/>
                    <a:ea typeface="Tahoma" pitchFamily="34" charset="0"/>
                    <a:cs typeface="Tahoma" pitchFamily="34" charset="0"/>
                  </a:rPr>
                  <a:t>Data</a:t>
                </a:r>
              </a:p>
            </c:rich>
          </c:tx>
          <c:layout/>
          <c:overlay val="0"/>
        </c:title>
        <c:numFmt formatCode="dd/mm/yy;@" sourceLinked="0"/>
        <c:majorTickMark val="cross"/>
        <c:minorTickMark val="none"/>
        <c:tickLblPos val="low"/>
        <c:crossAx val="111290624"/>
        <c:crosses val="autoZero"/>
        <c:auto val="1"/>
        <c:lblOffset val="100"/>
        <c:baseTimeUnit val="days"/>
        <c:majorUnit val="4"/>
        <c:majorTimeUnit val="days"/>
      </c:dateAx>
      <c:valAx>
        <c:axId val="111290624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100" b="1">
                    <a:latin typeface="Tahoma" pitchFamily="34" charset="0"/>
                    <a:ea typeface="Tahoma" pitchFamily="34" charset="0"/>
                    <a:cs typeface="Tahoma" pitchFamily="34" charset="0"/>
                  </a:defRPr>
                </a:pPr>
                <a:r>
                  <a:rPr lang="pt-BR" sz="1100" b="1">
                    <a:latin typeface="Tahoma" pitchFamily="34" charset="0"/>
                    <a:ea typeface="Tahoma" pitchFamily="34" charset="0"/>
                    <a:cs typeface="Tahoma" pitchFamily="34" charset="0"/>
                  </a:rPr>
                  <a:t>Pontos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111288704"/>
        <c:crossesAt val="42125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0897902468073846"/>
          <c:y val="3.1312204724409445E-2"/>
          <c:w val="0.18937801892410508"/>
          <c:h val="0.2583273340832396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2175925925925929E-2"/>
          <c:y val="4.2920134983127106E-2"/>
          <c:w val="0.61638289014071079"/>
          <c:h val="0.8933198350206224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alphaModFix amt="70000"/>
              </a:blip>
              <a:srcRect/>
              <a:stretch>
                <a:fillRect/>
              </a:stretch>
            </a:blipFill>
            <a:ln>
              <a:noFill/>
            </a:ln>
          </c:spPr>
          <c:invertIfNegative val="0"/>
          <c:pictureOptions>
            <c:pictureFormat val="stack"/>
          </c:pictureOptions>
          <c:dPt>
            <c:idx val="0"/>
            <c:invertIfNegative val="0"/>
            <c:bubble3D val="0"/>
          </c:dPt>
          <c:dLbls>
            <c:delete val="1"/>
          </c:dLbls>
          <c:cat>
            <c:numRef>
              <c:f>Atividades!$M$30</c:f>
              <c:numCache>
                <c:formatCode>0%</c:formatCode>
                <c:ptCount val="1"/>
                <c:pt idx="0">
                  <c:v>0.91176470588235292</c:v>
                </c:pt>
              </c:numCache>
            </c:numRef>
          </c:cat>
          <c:val>
            <c:numRef>
              <c:f>Atividades!$M$30</c:f>
              <c:numCache>
                <c:formatCode>0%</c:formatCode>
                <c:ptCount val="1"/>
                <c:pt idx="0">
                  <c:v>0.91176470588235292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11364736"/>
        <c:axId val="111363200"/>
      </c:barChart>
      <c:valAx>
        <c:axId val="111363200"/>
        <c:scaling>
          <c:orientation val="minMax"/>
          <c:max val="1"/>
        </c:scaling>
        <c:delete val="0"/>
        <c:axPos val="b"/>
        <c:numFmt formatCode="0%" sourceLinked="1"/>
        <c:majorTickMark val="out"/>
        <c:minorTickMark val="none"/>
        <c:tickLblPos val="nextTo"/>
        <c:crossAx val="111364736"/>
        <c:crosses val="autoZero"/>
        <c:crossBetween val="between"/>
        <c:majorUnit val="0.5"/>
      </c:valAx>
      <c:catAx>
        <c:axId val="111364736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111363200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solidFill>
              <a:schemeClr val="tx1"/>
            </a:solidFill>
            <a:ln>
              <a:noFill/>
            </a:ln>
          </c:spPr>
          <c:dPt>
            <c:idx val="0"/>
            <c:bubble3D val="0"/>
            <c:spPr>
              <a:solidFill>
                <a:srgbClr val="2299EA">
                  <a:alpha val="70000"/>
                </a:srgbClr>
              </a:solidFill>
              <a:ln>
                <a:noFill/>
              </a:ln>
            </c:spPr>
          </c:dPt>
          <c:dPt>
            <c:idx val="1"/>
            <c:bubble3D val="0"/>
            <c:spPr>
              <a:solidFill>
                <a:srgbClr val="1AB621">
                  <a:alpha val="70000"/>
                </a:srgbClr>
              </a:solidFill>
              <a:ln>
                <a:noFill/>
              </a:ln>
            </c:spPr>
          </c:dPt>
          <c:dPt>
            <c:idx val="2"/>
            <c:bubble3D val="0"/>
            <c:spPr>
              <a:solidFill>
                <a:schemeClr val="accent6">
                  <a:lumMod val="50000"/>
                  <a:alpha val="70000"/>
                </a:schemeClr>
              </a:solidFill>
              <a:ln>
                <a:noFill/>
              </a:ln>
            </c:spPr>
          </c:dPt>
          <c:dPt>
            <c:idx val="3"/>
            <c:bubble3D val="0"/>
            <c:spPr>
              <a:solidFill>
                <a:srgbClr val="FF0000">
                  <a:alpha val="70000"/>
                </a:srgbClr>
              </a:solidFill>
              <a:ln>
                <a:noFill/>
              </a:ln>
            </c:spPr>
          </c:dPt>
          <c:cat>
            <c:strRef>
              <c:f>Atividades!$N$33:$N$36</c:f>
              <c:strCache>
                <c:ptCount val="4"/>
                <c:pt idx="0">
                  <c:v>Desenvolvimento</c:v>
                </c:pt>
                <c:pt idx="1">
                  <c:v>Teste</c:v>
                </c:pt>
                <c:pt idx="2">
                  <c:v>Documentacao</c:v>
                </c:pt>
                <c:pt idx="3">
                  <c:v>Bugs</c:v>
                </c:pt>
              </c:strCache>
            </c:strRef>
          </c:cat>
          <c:val>
            <c:numRef>
              <c:f>Atividades!$M$33:$M$36</c:f>
              <c:numCache>
                <c:formatCode>0.00</c:formatCode>
                <c:ptCount val="4"/>
                <c:pt idx="0">
                  <c:v>45</c:v>
                </c:pt>
                <c:pt idx="1">
                  <c:v>29</c:v>
                </c:pt>
                <c:pt idx="2">
                  <c:v>8</c:v>
                </c:pt>
                <c:pt idx="3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</c:spPr>
    </c:plotArea>
    <c:legend>
      <c:legendPos val="r"/>
      <c:layout>
        <c:manualLayout>
          <c:xMode val="edge"/>
          <c:yMode val="edge"/>
          <c:x val="0.46081496062992117"/>
          <c:y val="0.18279921259842519"/>
          <c:w val="0.39790342678370055"/>
          <c:h val="0.56012696850393706"/>
        </c:manualLayout>
      </c:layout>
      <c:overlay val="0"/>
      <c:spPr>
        <a:noFill/>
      </c:spPr>
      <c:txPr>
        <a:bodyPr/>
        <a:lstStyle/>
        <a:p>
          <a:pPr rtl="0">
            <a:defRPr>
              <a:latin typeface="+mn-lt"/>
            </a:defRPr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Tahoma" pitchFamily="34" charset="0"/>
          <a:ea typeface="Tahoma" pitchFamily="34" charset="0"/>
          <a:cs typeface="Tahoma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987432605407082E-2"/>
          <c:y val="0.2824212598425197"/>
          <c:w val="0.97601256739459297"/>
          <c:h val="0.71757874015748035"/>
        </c:manualLayout>
      </c:layout>
      <c:barChart>
        <c:barDir val="bar"/>
        <c:grouping val="clustered"/>
        <c:varyColors val="0"/>
        <c:ser>
          <c:idx val="0"/>
          <c:order val="0"/>
          <c:tx>
            <c:v>Total</c:v>
          </c:tx>
          <c:spPr>
            <a:solidFill>
              <a:srgbClr val="2299EA">
                <a:alpha val="70000"/>
              </a:srgbClr>
            </a:solidFill>
          </c:spPr>
          <c:invertIfNegative val="0"/>
          <c:dLbls>
            <c:txPr>
              <a:bodyPr/>
              <a:lstStyle/>
              <a:p>
                <a:pPr>
                  <a:defRPr sz="1100" b="1">
                    <a:latin typeface="Tahoma" pitchFamily="34" charset="0"/>
                    <a:ea typeface="Tahoma" pitchFamily="34" charset="0"/>
                    <a:cs typeface="Tahoma" pitchFamily="34" charset="0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Atividades!$K$33</c:f>
              <c:numCache>
                <c:formatCode>0</c:formatCode>
                <c:ptCount val="1"/>
                <c:pt idx="0">
                  <c:v>4</c:v>
                </c:pt>
              </c:numCache>
            </c:numRef>
          </c:val>
        </c:ser>
        <c:ser>
          <c:idx val="2"/>
          <c:order val="1"/>
          <c:tx>
            <c:v>Concluídas</c:v>
          </c:tx>
          <c:spPr>
            <a:solidFill>
              <a:srgbClr val="1AB621">
                <a:alpha val="70000"/>
              </a:srgbClr>
            </a:solidFill>
          </c:spPr>
          <c:invertIfNegative val="0"/>
          <c:dLbls>
            <c:txPr>
              <a:bodyPr/>
              <a:lstStyle/>
              <a:p>
                <a:pPr>
                  <a:defRPr sz="1100" b="1">
                    <a:latin typeface="Tahoma" pitchFamily="34" charset="0"/>
                    <a:ea typeface="Tahoma" pitchFamily="34" charset="0"/>
                    <a:cs typeface="Tahoma" pitchFamily="34" charset="0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Atividades!$L$33:$L$35</c:f>
              <c:strCache>
                <c:ptCount val="3"/>
                <c:pt idx="0">
                  <c:v>Total</c:v>
                </c:pt>
                <c:pt idx="1">
                  <c:v>Pendente</c:v>
                </c:pt>
                <c:pt idx="2">
                  <c:v>Aprovada</c:v>
                </c:pt>
              </c:strCache>
            </c:strRef>
          </c:cat>
          <c:val>
            <c:numRef>
              <c:f>Atividades!$K$35</c:f>
              <c:numCache>
                <c:formatCode>0</c:formatCode>
                <c:ptCount val="1"/>
                <c:pt idx="0">
                  <c:v>2</c:v>
                </c:pt>
              </c:numCache>
            </c:numRef>
          </c:val>
        </c:ser>
        <c:ser>
          <c:idx val="1"/>
          <c:order val="2"/>
          <c:tx>
            <c:v>Pendentes</c:v>
          </c:tx>
          <c:spPr>
            <a:solidFill>
              <a:srgbClr val="FF0000">
                <a:alpha val="70000"/>
              </a:srgbClr>
            </a:solidFill>
          </c:spPr>
          <c:invertIfNegative val="0"/>
          <c:dLbls>
            <c:dLbl>
              <c:idx val="0"/>
              <c:spPr/>
              <c:txPr>
                <a:bodyPr/>
                <a:lstStyle/>
                <a:p>
                  <a:pPr>
                    <a:defRPr sz="1100" b="1">
                      <a:latin typeface="Tahoma" pitchFamily="34" charset="0"/>
                      <a:ea typeface="Tahoma" pitchFamily="34" charset="0"/>
                      <a:cs typeface="Tahoma" pitchFamily="34" charset="0"/>
                    </a:defRPr>
                  </a:pPr>
                  <a:endParaRPr lang="pt-B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Atividades!$L$33:$L$35</c:f>
              <c:strCache>
                <c:ptCount val="3"/>
                <c:pt idx="0">
                  <c:v>Total</c:v>
                </c:pt>
                <c:pt idx="1">
                  <c:v>Pendente</c:v>
                </c:pt>
                <c:pt idx="2">
                  <c:v>Aprovada</c:v>
                </c:pt>
              </c:strCache>
            </c:strRef>
          </c:cat>
          <c:val>
            <c:numRef>
              <c:f>Atividades!$K$34</c:f>
              <c:numCache>
                <c:formatCode>0</c:formatCode>
                <c:ptCount val="1"/>
                <c:pt idx="0">
                  <c:v>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11414272"/>
        <c:axId val="111452928"/>
      </c:barChart>
      <c:catAx>
        <c:axId val="111414272"/>
        <c:scaling>
          <c:orientation val="minMax"/>
        </c:scaling>
        <c:delete val="1"/>
        <c:axPos val="l"/>
        <c:majorTickMark val="out"/>
        <c:minorTickMark val="none"/>
        <c:tickLblPos val="nextTo"/>
        <c:crossAx val="111452928"/>
        <c:crosses val="autoZero"/>
        <c:auto val="1"/>
        <c:lblAlgn val="ctr"/>
        <c:lblOffset val="100"/>
        <c:noMultiLvlLbl val="0"/>
      </c:catAx>
      <c:valAx>
        <c:axId val="1114529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11414272"/>
        <c:crosses val="autoZero"/>
        <c:crossBetween val="between"/>
      </c:valAx>
      <c:spPr>
        <a:noFill/>
        <a:ln>
          <a:noFill/>
        </a:ln>
      </c:spPr>
    </c:plotArea>
    <c:legend>
      <c:legendPos val="t"/>
      <c:layout>
        <c:manualLayout>
          <c:xMode val="edge"/>
          <c:yMode val="edge"/>
          <c:x val="8.1702287214098241E-4"/>
          <c:y val="0.09"/>
          <c:w val="0.70788976377952761"/>
          <c:h val="0.18082913385826771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071333905044048"/>
          <c:y val="4.8615310778447655E-2"/>
          <c:w val="0.86179815263476667"/>
          <c:h val="0.79835770528683914"/>
        </c:manualLayout>
      </c:layout>
      <c:lineChart>
        <c:grouping val="standard"/>
        <c:varyColors val="0"/>
        <c:ser>
          <c:idx val="0"/>
          <c:order val="0"/>
          <c:tx>
            <c:v>Planejado</c:v>
          </c:tx>
          <c:marker>
            <c:symbol val="diamond"/>
            <c:size val="8"/>
          </c:marker>
          <c:cat>
            <c:numRef>
              <c:f>Atividades!$K$2:$K$12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5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cat>
          <c:val>
            <c:numRef>
              <c:f>Atividades!$I$2:$I$11</c:f>
              <c:numCache>
                <c:formatCode>General</c:formatCode>
                <c:ptCount val="10"/>
                <c:pt idx="0">
                  <c:v>45</c:v>
                </c:pt>
                <c:pt idx="1">
                  <c:v>40</c:v>
                </c:pt>
                <c:pt idx="2">
                  <c:v>35</c:v>
                </c:pt>
                <c:pt idx="3">
                  <c:v>30</c:v>
                </c:pt>
                <c:pt idx="4">
                  <c:v>25</c:v>
                </c:pt>
                <c:pt idx="5">
                  <c:v>20</c:v>
                </c:pt>
                <c:pt idx="6">
                  <c:v>15</c:v>
                </c:pt>
                <c:pt idx="7">
                  <c:v>10</c:v>
                </c:pt>
                <c:pt idx="8">
                  <c:v>5</c:v>
                </c:pt>
                <c:pt idx="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Realizado</c:v>
          </c:tx>
          <c:spPr>
            <a:ln w="0">
              <a:noFill/>
              <a:prstDash val="sysDash"/>
            </a:ln>
          </c:spPr>
          <c:marker>
            <c:symbol val="x"/>
            <c:size val="7"/>
            <c:spPr>
              <a:ln w="19050">
                <a:solidFill>
                  <a:srgbClr val="FF0000"/>
                </a:solidFill>
              </a:ln>
            </c:spPr>
          </c:marker>
          <c:cat>
            <c:numRef>
              <c:f>Atividades!$K$2:$K$12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5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cat>
          <c:val>
            <c:numRef>
              <c:f>Atividades!$J$2:$J$12</c:f>
              <c:numCache>
                <c:formatCode>General</c:formatCode>
                <c:ptCount val="11"/>
                <c:pt idx="0">
                  <c:v>45</c:v>
                </c:pt>
                <c:pt idx="1">
                  <c:v>40.5</c:v>
                </c:pt>
                <c:pt idx="2">
                  <c:v>36</c:v>
                </c:pt>
                <c:pt idx="3">
                  <c:v>31.5</c:v>
                </c:pt>
                <c:pt idx="4">
                  <c:v>27</c:v>
                </c:pt>
                <c:pt idx="5">
                  <c:v>22.5</c:v>
                </c:pt>
                <c:pt idx="6">
                  <c:v>18</c:v>
                </c:pt>
                <c:pt idx="7">
                  <c:v>13.5</c:v>
                </c:pt>
                <c:pt idx="8">
                  <c:v>9</c:v>
                </c:pt>
                <c:pt idx="9">
                  <c:v>4.5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/>
        <c:marker val="1"/>
        <c:smooth val="0"/>
        <c:axId val="116537216"/>
        <c:axId val="116551680"/>
      </c:lineChart>
      <c:catAx>
        <c:axId val="116537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>
                    <a:latin typeface="Tahoma" pitchFamily="34" charset="0"/>
                    <a:ea typeface="Tahoma" pitchFamily="34" charset="0"/>
                    <a:cs typeface="Tahoma" pitchFamily="34" charset="0"/>
                  </a:defRPr>
                </a:pPr>
                <a:r>
                  <a:rPr lang="pt-BR" sz="1100" b="1">
                    <a:latin typeface="Tahoma" pitchFamily="34" charset="0"/>
                    <a:ea typeface="Tahoma" pitchFamily="34" charset="0"/>
                    <a:cs typeface="Tahoma" pitchFamily="34" charset="0"/>
                  </a:rPr>
                  <a:t>Dias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116551680"/>
        <c:crosses val="autoZero"/>
        <c:auto val="1"/>
        <c:lblAlgn val="ctr"/>
        <c:lblOffset val="100"/>
        <c:tickLblSkip val="1"/>
        <c:noMultiLvlLbl val="0"/>
      </c:catAx>
      <c:valAx>
        <c:axId val="11655168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100" b="1">
                    <a:latin typeface="Tahoma" pitchFamily="34" charset="0"/>
                    <a:ea typeface="Tahoma" pitchFamily="34" charset="0"/>
                    <a:cs typeface="Tahoma" pitchFamily="34" charset="0"/>
                  </a:defRPr>
                </a:pPr>
                <a:r>
                  <a:rPr lang="pt-BR" sz="1100" b="1">
                    <a:latin typeface="Tahoma" pitchFamily="34" charset="0"/>
                    <a:ea typeface="Tahoma" pitchFamily="34" charset="0"/>
                    <a:cs typeface="Tahoma" pitchFamily="34" charset="0"/>
                  </a:rPr>
                  <a:t>Pontos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6537216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71023950131233593"/>
          <c:y val="6.1312335958005261E-2"/>
          <c:w val="0.25450408843125377"/>
          <c:h val="0.2583273340832396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80952380952382E-2"/>
          <c:y val="0.28082913385826774"/>
          <c:w val="0.94285714285714284"/>
          <c:h val="0.71917086614173231"/>
        </c:manualLayout>
      </c:layout>
      <c:barChart>
        <c:barDir val="bar"/>
        <c:grouping val="clustered"/>
        <c:varyColors val="0"/>
        <c:ser>
          <c:idx val="0"/>
          <c:order val="0"/>
          <c:tx>
            <c:v>Total</c:v>
          </c:tx>
          <c:spPr>
            <a:solidFill>
              <a:srgbClr val="2299EA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2299EA">
                  <a:alpha val="70000"/>
                </a:srgbClr>
              </a:solidFill>
            </c:spPr>
          </c:dPt>
          <c:dLbls>
            <c:txPr>
              <a:bodyPr/>
              <a:lstStyle/>
              <a:p>
                <a:pPr>
                  <a:defRPr sz="1100" b="1">
                    <a:latin typeface="Tahoma" pitchFamily="34" charset="0"/>
                    <a:ea typeface="Tahoma" pitchFamily="34" charset="0"/>
                    <a:cs typeface="Tahoma" pitchFamily="34" charset="0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Atividades!$K$37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</c:ser>
        <c:ser>
          <c:idx val="2"/>
          <c:order val="1"/>
          <c:tx>
            <c:v>Concluídas</c:v>
          </c:tx>
          <c:spPr>
            <a:solidFill>
              <a:srgbClr val="1AB621">
                <a:alpha val="70000"/>
              </a:srgbClr>
            </a:solidFill>
          </c:spPr>
          <c:invertIfNegative val="0"/>
          <c:dLbls>
            <c:txPr>
              <a:bodyPr/>
              <a:lstStyle/>
              <a:p>
                <a:pPr>
                  <a:defRPr sz="1100" b="1">
                    <a:latin typeface="Tahoma" pitchFamily="34" charset="0"/>
                    <a:ea typeface="Tahoma" pitchFamily="34" charset="0"/>
                    <a:cs typeface="Tahoma" pitchFamily="34" charset="0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Atividades!$K$39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1"/>
          <c:order val="2"/>
          <c:tx>
            <c:v>Pendentes</c:v>
          </c:tx>
          <c:spPr>
            <a:solidFill>
              <a:srgbClr val="FF0000">
                <a:alpha val="70000"/>
              </a:srgbClr>
            </a:solidFill>
          </c:spPr>
          <c:invertIfNegative val="0"/>
          <c:dLbls>
            <c:txPr>
              <a:bodyPr/>
              <a:lstStyle/>
              <a:p>
                <a:pPr>
                  <a:defRPr sz="1100" b="1">
                    <a:latin typeface="Tahoma" pitchFamily="34" charset="0"/>
                    <a:ea typeface="Tahoma" pitchFamily="34" charset="0"/>
                    <a:cs typeface="Tahoma" pitchFamily="34" charset="0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Atividades!$K$38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16579328"/>
        <c:axId val="116593408"/>
      </c:barChart>
      <c:catAx>
        <c:axId val="116579328"/>
        <c:scaling>
          <c:orientation val="minMax"/>
        </c:scaling>
        <c:delete val="1"/>
        <c:axPos val="l"/>
        <c:majorTickMark val="out"/>
        <c:minorTickMark val="none"/>
        <c:tickLblPos val="nextTo"/>
        <c:crossAx val="116593408"/>
        <c:crosses val="autoZero"/>
        <c:auto val="1"/>
        <c:lblAlgn val="ctr"/>
        <c:lblOffset val="100"/>
        <c:noMultiLvlLbl val="0"/>
      </c:catAx>
      <c:valAx>
        <c:axId val="1165934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6579328"/>
        <c:crosses val="autoZero"/>
        <c:crossBetween val="between"/>
      </c:valAx>
      <c:spPr>
        <a:noFill/>
      </c:spPr>
    </c:plotArea>
    <c:legend>
      <c:legendPos val="t"/>
      <c:layout>
        <c:manualLayout>
          <c:xMode val="edge"/>
          <c:yMode val="edge"/>
          <c:x val="3.2073490813648293E-3"/>
          <c:y val="0"/>
          <c:w val="0.80310911136107987"/>
          <c:h val="0.18082913385826771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714376</xdr:colOff>
      <xdr:row>10</xdr:row>
      <xdr:rowOff>57150</xdr:rowOff>
    </xdr:from>
    <xdr:to>
      <xdr:col>5</xdr:col>
      <xdr:colOff>1870076</xdr:colOff>
      <xdr:row>16</xdr:row>
      <xdr:rowOff>6350</xdr:rowOff>
    </xdr:to>
    <xdr:graphicFrame macro="">
      <xdr:nvGraphicFramePr>
        <xdr:cNvPr id="3" name="andamentopj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490536</xdr:colOff>
      <xdr:row>13</xdr:row>
      <xdr:rowOff>19050</xdr:rowOff>
    </xdr:from>
    <xdr:to>
      <xdr:col>4</xdr:col>
      <xdr:colOff>2481261</xdr:colOff>
      <xdr:row>19</xdr:row>
      <xdr:rowOff>146050</xdr:rowOff>
    </xdr:to>
    <xdr:graphicFrame macro="">
      <xdr:nvGraphicFramePr>
        <xdr:cNvPr id="4" name="requisito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1009649</xdr:colOff>
      <xdr:row>25</xdr:row>
      <xdr:rowOff>142873</xdr:rowOff>
    </xdr:from>
    <xdr:to>
      <xdr:col>16</xdr:col>
      <xdr:colOff>15874</xdr:colOff>
      <xdr:row>39</xdr:row>
      <xdr:rowOff>15873</xdr:rowOff>
    </xdr:to>
    <xdr:graphicFrame macro="">
      <xdr:nvGraphicFramePr>
        <xdr:cNvPr id="9" name="burndownPj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895341</xdr:colOff>
      <xdr:row>25</xdr:row>
      <xdr:rowOff>66675</xdr:rowOff>
    </xdr:from>
    <xdr:to>
      <xdr:col>2</xdr:col>
      <xdr:colOff>698491</xdr:colOff>
      <xdr:row>29</xdr:row>
      <xdr:rowOff>3175</xdr:rowOff>
    </xdr:to>
    <xdr:graphicFrame macro="">
      <xdr:nvGraphicFramePr>
        <xdr:cNvPr id="2" name="eficiencia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371475</xdr:colOff>
      <xdr:row>24</xdr:row>
      <xdr:rowOff>190499</xdr:rowOff>
    </xdr:from>
    <xdr:to>
      <xdr:col>5</xdr:col>
      <xdr:colOff>0</xdr:colOff>
      <xdr:row>30</xdr:row>
      <xdr:rowOff>114299</xdr:rowOff>
    </xdr:to>
    <xdr:graphicFrame macro="">
      <xdr:nvGraphicFramePr>
        <xdr:cNvPr id="3" name="distribuica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952500</xdr:colOff>
      <xdr:row>34</xdr:row>
      <xdr:rowOff>171449</xdr:rowOff>
    </xdr:from>
    <xdr:to>
      <xdr:col>6</xdr:col>
      <xdr:colOff>971550</xdr:colOff>
      <xdr:row>41</xdr:row>
      <xdr:rowOff>107949</xdr:rowOff>
    </xdr:to>
    <xdr:graphicFrame macro="">
      <xdr:nvGraphicFramePr>
        <xdr:cNvPr id="7" name="tarefa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31</xdr:row>
      <xdr:rowOff>114300</xdr:rowOff>
    </xdr:from>
    <xdr:to>
      <xdr:col>4</xdr:col>
      <xdr:colOff>939800</xdr:colOff>
      <xdr:row>44</xdr:row>
      <xdr:rowOff>177800</xdr:rowOff>
    </xdr:to>
    <xdr:graphicFrame macro="">
      <xdr:nvGraphicFramePr>
        <xdr:cNvPr id="4" name="burndownSp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957262</xdr:colOff>
      <xdr:row>42</xdr:row>
      <xdr:rowOff>38101</xdr:rowOff>
    </xdr:from>
    <xdr:to>
      <xdr:col>6</xdr:col>
      <xdr:colOff>976312</xdr:colOff>
      <xdr:row>48</xdr:row>
      <xdr:rowOff>165101</xdr:rowOff>
    </xdr:to>
    <xdr:graphicFrame macro="">
      <xdr:nvGraphicFramePr>
        <xdr:cNvPr id="5" name="tarefaspj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E8"/>
  <sheetViews>
    <sheetView workbookViewId="0">
      <selection activeCell="E11" sqref="E11"/>
    </sheetView>
  </sheetViews>
  <sheetFormatPr defaultRowHeight="15" x14ac:dyDescent="0.25"/>
  <cols>
    <col min="2" max="2" width="20.7109375" customWidth="1"/>
    <col min="3" max="3" width="19.7109375" customWidth="1"/>
    <col min="4" max="4" width="22" customWidth="1"/>
    <col min="5" max="5" width="17.7109375" customWidth="1"/>
  </cols>
  <sheetData>
    <row r="1" spans="1:5" s="16" customFormat="1" x14ac:dyDescent="0.25">
      <c r="A1" s="16" t="s">
        <v>39</v>
      </c>
      <c r="B1" s="16" t="s">
        <v>1</v>
      </c>
      <c r="C1" s="16" t="s">
        <v>42</v>
      </c>
      <c r="D1" s="16" t="s">
        <v>40</v>
      </c>
      <c r="E1" s="16" t="s">
        <v>41</v>
      </c>
    </row>
    <row r="2" spans="1:5" x14ac:dyDescent="0.25">
      <c r="A2">
        <v>1</v>
      </c>
      <c r="B2" t="s">
        <v>50</v>
      </c>
      <c r="C2" s="2">
        <v>42236</v>
      </c>
      <c r="D2" s="2">
        <v>42328</v>
      </c>
      <c r="E2" s="13">
        <f ca="1">DAYS360(TODAY(),D2)</f>
        <v>90</v>
      </c>
    </row>
    <row r="8" spans="1:5" x14ac:dyDescent="0.25">
      <c r="E8" s="2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00B050"/>
  </sheetPr>
  <dimension ref="A1:K12"/>
  <sheetViews>
    <sheetView topLeftCell="C1" workbookViewId="0">
      <selection activeCell="F19" sqref="F19"/>
    </sheetView>
  </sheetViews>
  <sheetFormatPr defaultRowHeight="15" x14ac:dyDescent="0.25"/>
  <cols>
    <col min="1" max="1" width="9.140625" style="1"/>
    <col min="2" max="2" width="27.5703125" customWidth="1"/>
    <col min="3" max="3" width="9.85546875" customWidth="1"/>
    <col min="4" max="4" width="10.140625" style="7" bestFit="1" customWidth="1"/>
    <col min="5" max="5" width="42.28515625" customWidth="1"/>
    <col min="6" max="6" width="55.5703125" customWidth="1"/>
    <col min="7" max="7" width="11.28515625" customWidth="1"/>
    <col min="9" max="9" width="10.140625" bestFit="1" customWidth="1"/>
    <col min="10" max="11" width="13.28515625" customWidth="1"/>
  </cols>
  <sheetData>
    <row r="1" spans="1:11" s="5" customFormat="1" x14ac:dyDescent="0.25">
      <c r="A1" s="4" t="s">
        <v>0</v>
      </c>
      <c r="B1" s="5" t="s">
        <v>1</v>
      </c>
      <c r="C1" s="5" t="s">
        <v>2</v>
      </c>
      <c r="D1" s="9" t="s">
        <v>43</v>
      </c>
      <c r="E1" s="5" t="s">
        <v>3</v>
      </c>
      <c r="F1" s="5" t="s">
        <v>4</v>
      </c>
      <c r="G1" s="5" t="s">
        <v>10</v>
      </c>
      <c r="H1" s="5" t="s">
        <v>77</v>
      </c>
      <c r="J1" s="5" t="s">
        <v>86</v>
      </c>
      <c r="K1" s="5" t="s">
        <v>87</v>
      </c>
    </row>
    <row r="2" spans="1:11" x14ac:dyDescent="0.25">
      <c r="A2" s="1" t="s">
        <v>71</v>
      </c>
      <c r="B2" t="s">
        <v>9</v>
      </c>
      <c r="C2">
        <v>1</v>
      </c>
      <c r="D2" s="7">
        <v>20</v>
      </c>
      <c r="E2" s="6" t="s">
        <v>23</v>
      </c>
      <c r="F2" t="s">
        <v>12</v>
      </c>
      <c r="G2" t="s">
        <v>88</v>
      </c>
      <c r="J2" s="12">
        <f>SUM(D2:D200)</f>
        <v>220</v>
      </c>
      <c r="K2" s="11">
        <f>SUMIF(G:G,"Concluido",D:D)</f>
        <v>180</v>
      </c>
    </row>
    <row r="3" spans="1:11" x14ac:dyDescent="0.25">
      <c r="A3" s="1" t="s">
        <v>72</v>
      </c>
      <c r="B3" t="s">
        <v>6</v>
      </c>
      <c r="C3">
        <v>2</v>
      </c>
      <c r="D3" s="7">
        <v>20</v>
      </c>
      <c r="E3" s="6" t="s">
        <v>24</v>
      </c>
      <c r="F3" t="s">
        <v>15</v>
      </c>
      <c r="G3" t="s">
        <v>88</v>
      </c>
    </row>
    <row r="4" spans="1:11" x14ac:dyDescent="0.25">
      <c r="A4" s="1" t="s">
        <v>73</v>
      </c>
      <c r="B4" t="s">
        <v>25</v>
      </c>
      <c r="C4">
        <v>3</v>
      </c>
      <c r="D4" s="7">
        <v>20</v>
      </c>
      <c r="E4" s="6" t="s">
        <v>27</v>
      </c>
      <c r="F4" t="s">
        <v>28</v>
      </c>
      <c r="G4" t="s">
        <v>26</v>
      </c>
      <c r="I4" s="11">
        <f>COUNTA(A:A)-1</f>
        <v>11</v>
      </c>
      <c r="J4" t="s">
        <v>64</v>
      </c>
    </row>
    <row r="5" spans="1:11" x14ac:dyDescent="0.25">
      <c r="A5" s="1" t="s">
        <v>74</v>
      </c>
      <c r="B5" t="s">
        <v>11</v>
      </c>
      <c r="C5">
        <v>4</v>
      </c>
      <c r="D5" s="7">
        <v>20</v>
      </c>
      <c r="E5" t="s">
        <v>13</v>
      </c>
      <c r="F5" t="s">
        <v>16</v>
      </c>
      <c r="G5" t="s">
        <v>88</v>
      </c>
      <c r="I5" s="11">
        <f>COUNTIF(G:G,"Pendente")</f>
        <v>2</v>
      </c>
      <c r="J5" t="s">
        <v>26</v>
      </c>
    </row>
    <row r="6" spans="1:11" x14ac:dyDescent="0.25">
      <c r="A6" s="1" t="s">
        <v>75</v>
      </c>
      <c r="B6" t="s">
        <v>5</v>
      </c>
      <c r="C6">
        <v>5</v>
      </c>
      <c r="D6" s="7">
        <v>20</v>
      </c>
      <c r="E6" t="s">
        <v>14</v>
      </c>
      <c r="F6" t="s">
        <v>17</v>
      </c>
      <c r="G6" t="s">
        <v>88</v>
      </c>
      <c r="I6" s="11">
        <f>COUNTIF(G:G,"Concluido")</f>
        <v>9</v>
      </c>
      <c r="J6" t="s">
        <v>83</v>
      </c>
    </row>
    <row r="7" spans="1:11" x14ac:dyDescent="0.25">
      <c r="A7" s="1" t="s">
        <v>73</v>
      </c>
      <c r="B7" t="s">
        <v>25</v>
      </c>
      <c r="C7">
        <v>3</v>
      </c>
      <c r="D7" s="7">
        <v>20</v>
      </c>
      <c r="E7" s="6" t="s">
        <v>27</v>
      </c>
      <c r="F7" t="s">
        <v>28</v>
      </c>
      <c r="G7" t="s">
        <v>88</v>
      </c>
      <c r="I7" s="15">
        <f>K2/J2</f>
        <v>0.81818181818181823</v>
      </c>
      <c r="J7" s="15">
        <f>100%-I7</f>
        <v>0.18181818181818177</v>
      </c>
      <c r="K7" s="8"/>
    </row>
    <row r="8" spans="1:11" x14ac:dyDescent="0.25">
      <c r="A8" s="1" t="s">
        <v>74</v>
      </c>
      <c r="B8" t="s">
        <v>11</v>
      </c>
      <c r="C8">
        <v>4</v>
      </c>
      <c r="D8" s="7">
        <v>20</v>
      </c>
      <c r="E8" t="s">
        <v>13</v>
      </c>
      <c r="F8" t="s">
        <v>16</v>
      </c>
      <c r="G8" t="s">
        <v>88</v>
      </c>
    </row>
    <row r="9" spans="1:11" x14ac:dyDescent="0.25">
      <c r="A9" s="1" t="s">
        <v>75</v>
      </c>
      <c r="B9" t="s">
        <v>5</v>
      </c>
      <c r="C9">
        <v>5</v>
      </c>
      <c r="D9" s="7">
        <v>20</v>
      </c>
      <c r="E9" t="s">
        <v>14</v>
      </c>
      <c r="F9" t="s">
        <v>17</v>
      </c>
      <c r="G9" t="s">
        <v>88</v>
      </c>
    </row>
    <row r="10" spans="1:11" x14ac:dyDescent="0.25">
      <c r="A10" s="1" t="s">
        <v>72</v>
      </c>
      <c r="B10" t="s">
        <v>6</v>
      </c>
      <c r="C10">
        <v>2</v>
      </c>
      <c r="D10" s="7">
        <v>20</v>
      </c>
      <c r="E10" s="6" t="s">
        <v>24</v>
      </c>
      <c r="F10" t="s">
        <v>15</v>
      </c>
      <c r="G10" t="s">
        <v>88</v>
      </c>
    </row>
    <row r="11" spans="1:11" x14ac:dyDescent="0.25">
      <c r="A11" s="1" t="s">
        <v>73</v>
      </c>
      <c r="B11" t="s">
        <v>25</v>
      </c>
      <c r="C11">
        <v>3</v>
      </c>
      <c r="D11" s="7">
        <v>20</v>
      </c>
      <c r="E11" s="6" t="s">
        <v>27</v>
      </c>
      <c r="F11" t="s">
        <v>28</v>
      </c>
      <c r="G11" t="s">
        <v>26</v>
      </c>
    </row>
    <row r="12" spans="1:11" x14ac:dyDescent="0.25">
      <c r="A12" s="1" t="s">
        <v>74</v>
      </c>
      <c r="B12" t="s">
        <v>11</v>
      </c>
      <c r="C12">
        <v>4</v>
      </c>
      <c r="D12" s="7">
        <v>20</v>
      </c>
      <c r="E12" t="s">
        <v>13</v>
      </c>
      <c r="F12" t="s">
        <v>16</v>
      </c>
      <c r="G12" t="s">
        <v>88</v>
      </c>
    </row>
  </sheetData>
  <pageMargins left="0.511811024" right="0.511811024" top="0.78740157499999996" bottom="0.78740157499999996" header="0.31496062000000002" footer="0.31496062000000002"/>
  <pageSetup paperSize="9" orientation="portrait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70C0"/>
  </sheetPr>
  <dimension ref="A1:K34"/>
  <sheetViews>
    <sheetView topLeftCell="E1" workbookViewId="0">
      <selection activeCell="G8" sqref="G8"/>
    </sheetView>
  </sheetViews>
  <sheetFormatPr defaultRowHeight="15" x14ac:dyDescent="0.25"/>
  <cols>
    <col min="1" max="1" width="11.28515625" customWidth="1"/>
    <col min="2" max="2" width="33.7109375" customWidth="1"/>
    <col min="3" max="3" width="14.28515625" customWidth="1"/>
    <col min="4" max="4" width="18.5703125" style="2" customWidth="1"/>
    <col min="5" max="5" width="17.85546875" style="2" customWidth="1"/>
    <col min="6" max="6" width="18.7109375" style="7" customWidth="1"/>
    <col min="7" max="7" width="17.7109375" customWidth="1"/>
    <col min="8" max="8" width="26" style="10" customWidth="1"/>
    <col min="9" max="9" width="9.5703125" bestFit="1" customWidth="1"/>
    <col min="11" max="11" width="15.140625" style="3" customWidth="1"/>
  </cols>
  <sheetData>
    <row r="1" spans="1:11" x14ac:dyDescent="0.25">
      <c r="A1" t="s">
        <v>8</v>
      </c>
      <c r="B1" t="s">
        <v>33</v>
      </c>
      <c r="C1" t="s">
        <v>7</v>
      </c>
      <c r="D1" s="2" t="s">
        <v>29</v>
      </c>
      <c r="E1" s="2" t="s">
        <v>30</v>
      </c>
      <c r="F1" s="7" t="s">
        <v>31</v>
      </c>
      <c r="G1" s="2" t="s">
        <v>32</v>
      </c>
      <c r="H1" s="10" t="s">
        <v>34</v>
      </c>
      <c r="I1" s="2"/>
      <c r="J1" s="2" t="s">
        <v>66</v>
      </c>
      <c r="K1" s="3" t="s">
        <v>78</v>
      </c>
    </row>
    <row r="2" spans="1:11" x14ac:dyDescent="0.25">
      <c r="A2" t="s">
        <v>76</v>
      </c>
      <c r="B2" t="s">
        <v>6</v>
      </c>
      <c r="C2">
        <v>1</v>
      </c>
      <c r="F2" s="7">
        <f>BackLogProduto!J2-Sprints!K2</f>
        <v>180</v>
      </c>
      <c r="G2">
        <v>170</v>
      </c>
      <c r="H2" s="10">
        <v>42125</v>
      </c>
      <c r="J2" s="13">
        <f>MAX(C:C)</f>
        <v>1</v>
      </c>
      <c r="K2" s="3">
        <v>40</v>
      </c>
    </row>
    <row r="3" spans="1:11" x14ac:dyDescent="0.25">
      <c r="F3" s="7">
        <f>F2-$K$2</f>
        <v>140</v>
      </c>
      <c r="G3">
        <v>150</v>
      </c>
      <c r="H3" s="10">
        <v>42132</v>
      </c>
      <c r="J3" s="1"/>
    </row>
    <row r="4" spans="1:11" x14ac:dyDescent="0.25">
      <c r="F4" s="7">
        <f>F3-$K$2</f>
        <v>100</v>
      </c>
      <c r="G4">
        <v>90</v>
      </c>
      <c r="H4" s="10">
        <v>42140</v>
      </c>
      <c r="J4" s="1"/>
    </row>
    <row r="5" spans="1:11" x14ac:dyDescent="0.25">
      <c r="F5" s="7">
        <f>F4-$K$2</f>
        <v>60</v>
      </c>
      <c r="G5">
        <v>60</v>
      </c>
      <c r="H5" s="10">
        <v>42148</v>
      </c>
      <c r="J5" s="1"/>
    </row>
    <row r="6" spans="1:11" x14ac:dyDescent="0.25">
      <c r="F6" s="7">
        <f>F5-$K$2</f>
        <v>20</v>
      </c>
      <c r="H6" s="10">
        <v>42156</v>
      </c>
      <c r="J6" s="1"/>
    </row>
    <row r="7" spans="1:11" x14ac:dyDescent="0.25">
      <c r="F7" s="7">
        <v>0</v>
      </c>
      <c r="H7" s="10">
        <v>42164</v>
      </c>
      <c r="J7" s="1"/>
    </row>
    <row r="8" spans="1:11" x14ac:dyDescent="0.25">
      <c r="G8" s="1"/>
    </row>
    <row r="9" spans="1:11" x14ac:dyDescent="0.25">
      <c r="G9" s="1"/>
    </row>
    <row r="10" spans="1:11" x14ac:dyDescent="0.25">
      <c r="G10" s="1"/>
    </row>
    <row r="11" spans="1:11" x14ac:dyDescent="0.25">
      <c r="G11" s="1"/>
    </row>
    <row r="12" spans="1:11" x14ac:dyDescent="0.25">
      <c r="G12" s="1"/>
    </row>
    <row r="13" spans="1:11" x14ac:dyDescent="0.25">
      <c r="G13" s="1"/>
    </row>
    <row r="14" spans="1:11" x14ac:dyDescent="0.25">
      <c r="D14"/>
      <c r="E14" s="7"/>
    </row>
    <row r="15" spans="1:11" x14ac:dyDescent="0.25">
      <c r="D15"/>
      <c r="E15" s="7"/>
    </row>
    <row r="16" spans="1:11" x14ac:dyDescent="0.25">
      <c r="D16"/>
      <c r="E16" s="7"/>
    </row>
    <row r="17" spans="4:7" x14ac:dyDescent="0.25">
      <c r="D17" t="s">
        <v>35</v>
      </c>
      <c r="E17" s="2" t="s">
        <v>36</v>
      </c>
      <c r="F17" s="7" t="s">
        <v>37</v>
      </c>
      <c r="G17" t="s">
        <v>38</v>
      </c>
    </row>
    <row r="18" spans="4:7" x14ac:dyDescent="0.25">
      <c r="E18">
        <v>45</v>
      </c>
      <c r="F18" s="7">
        <v>40</v>
      </c>
      <c r="G18">
        <v>45</v>
      </c>
    </row>
    <row r="19" spans="4:7" x14ac:dyDescent="0.25">
      <c r="E19">
        <v>41</v>
      </c>
      <c r="F19" s="7">
        <v>39</v>
      </c>
      <c r="G19">
        <v>43</v>
      </c>
    </row>
    <row r="20" spans="4:7" x14ac:dyDescent="0.25">
      <c r="E20">
        <v>38</v>
      </c>
      <c r="F20" s="7">
        <v>30</v>
      </c>
      <c r="G20">
        <v>34</v>
      </c>
    </row>
    <row r="21" spans="4:7" x14ac:dyDescent="0.25">
      <c r="E21">
        <v>33</v>
      </c>
      <c r="F21" s="7">
        <v>29</v>
      </c>
      <c r="G21">
        <v>29</v>
      </c>
    </row>
    <row r="22" spans="4:7" x14ac:dyDescent="0.25">
      <c r="E22">
        <v>30</v>
      </c>
      <c r="F22" s="7">
        <v>22</v>
      </c>
      <c r="G22">
        <v>30</v>
      </c>
    </row>
    <row r="23" spans="4:7" x14ac:dyDescent="0.25">
      <c r="E23">
        <v>24</v>
      </c>
      <c r="F23" s="7">
        <v>20</v>
      </c>
      <c r="G23">
        <v>20</v>
      </c>
    </row>
    <row r="24" spans="4:7" x14ac:dyDescent="0.25">
      <c r="E24" s="1">
        <v>19</v>
      </c>
      <c r="F24" s="7">
        <v>15</v>
      </c>
      <c r="G24" s="1">
        <v>18</v>
      </c>
    </row>
    <row r="25" spans="4:7" x14ac:dyDescent="0.25">
      <c r="E25" s="1">
        <v>17</v>
      </c>
      <c r="F25" s="7">
        <v>12</v>
      </c>
      <c r="G25" s="1">
        <v>15</v>
      </c>
    </row>
    <row r="26" spans="4:7" x14ac:dyDescent="0.25">
      <c r="E26" s="1">
        <v>13</v>
      </c>
      <c r="F26" s="7">
        <v>9</v>
      </c>
      <c r="G26" s="1">
        <v>7</v>
      </c>
    </row>
    <row r="27" spans="4:7" x14ac:dyDescent="0.25">
      <c r="E27" s="1">
        <v>5</v>
      </c>
      <c r="F27" s="7">
        <v>0</v>
      </c>
      <c r="G27" s="1">
        <v>1</v>
      </c>
    </row>
    <row r="28" spans="4:7" x14ac:dyDescent="0.25">
      <c r="E28" s="1">
        <v>1</v>
      </c>
      <c r="G28" s="1">
        <v>0</v>
      </c>
    </row>
    <row r="29" spans="4:7" x14ac:dyDescent="0.25">
      <c r="E29" s="7">
        <v>20</v>
      </c>
      <c r="F29" s="7">
        <v>20</v>
      </c>
    </row>
    <row r="30" spans="4:7" x14ac:dyDescent="0.25">
      <c r="E30" s="1">
        <v>15</v>
      </c>
      <c r="F30" s="7">
        <v>18</v>
      </c>
    </row>
    <row r="31" spans="4:7" x14ac:dyDescent="0.25">
      <c r="E31" s="7">
        <v>12</v>
      </c>
      <c r="F31" s="7">
        <v>15</v>
      </c>
    </row>
    <row r="32" spans="4:7" x14ac:dyDescent="0.25">
      <c r="E32" s="7">
        <v>9</v>
      </c>
      <c r="F32" s="7">
        <v>7</v>
      </c>
    </row>
    <row r="33" spans="5:6" x14ac:dyDescent="0.25">
      <c r="E33" s="7">
        <v>0</v>
      </c>
      <c r="F33" s="7">
        <v>1</v>
      </c>
    </row>
    <row r="34" spans="5:6" x14ac:dyDescent="0.25">
      <c r="E34" s="7"/>
      <c r="F34" s="7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theme="5" tint="0.39997558519241921"/>
  </sheetPr>
  <dimension ref="A1:N44"/>
  <sheetViews>
    <sheetView tabSelected="1" workbookViewId="0">
      <selection activeCell="H16" sqref="H16"/>
    </sheetView>
  </sheetViews>
  <sheetFormatPr defaultRowHeight="15" x14ac:dyDescent="0.25"/>
  <cols>
    <col min="1" max="1" width="20.28515625" customWidth="1"/>
    <col min="2" max="2" width="24.5703125" customWidth="1"/>
    <col min="3" max="3" width="17.28515625" customWidth="1"/>
    <col min="4" max="4" width="14.42578125" customWidth="1"/>
    <col min="5" max="5" width="19.5703125" customWidth="1"/>
    <col min="6" max="6" width="20.140625" customWidth="1"/>
    <col min="7" max="7" width="15" customWidth="1"/>
    <col min="8" max="8" width="13" customWidth="1"/>
    <col min="9" max="9" width="15.5703125" style="3" customWidth="1"/>
    <col min="10" max="10" width="12.7109375" customWidth="1"/>
    <col min="11" max="11" width="11.140625" bestFit="1" customWidth="1"/>
    <col min="12" max="12" width="19.28515625" customWidth="1"/>
    <col min="13" max="13" width="14.140625" customWidth="1"/>
    <col min="14" max="14" width="16.42578125" customWidth="1"/>
  </cols>
  <sheetData>
    <row r="1" spans="1:11" s="14" customFormat="1" ht="15.75" customHeight="1" x14ac:dyDescent="0.25">
      <c r="A1" s="14" t="s">
        <v>39</v>
      </c>
      <c r="B1" s="14" t="s">
        <v>20</v>
      </c>
      <c r="C1" s="14" t="s">
        <v>10</v>
      </c>
      <c r="D1" s="14" t="s">
        <v>70</v>
      </c>
      <c r="E1" s="14" t="s">
        <v>18</v>
      </c>
      <c r="F1" s="14" t="s">
        <v>19</v>
      </c>
      <c r="G1" s="14" t="s">
        <v>21</v>
      </c>
      <c r="H1" s="14" t="s">
        <v>22</v>
      </c>
      <c r="I1" s="14" t="s">
        <v>79</v>
      </c>
      <c r="J1" s="14" t="s">
        <v>80</v>
      </c>
      <c r="K1" s="14" t="s">
        <v>81</v>
      </c>
    </row>
    <row r="2" spans="1:11" x14ac:dyDescent="0.25">
      <c r="A2" t="s">
        <v>52</v>
      </c>
      <c r="C2" t="s">
        <v>26</v>
      </c>
      <c r="D2" t="s">
        <v>84</v>
      </c>
      <c r="E2" t="s">
        <v>59</v>
      </c>
      <c r="G2">
        <v>8</v>
      </c>
      <c r="H2">
        <v>9</v>
      </c>
      <c r="I2">
        <v>45</v>
      </c>
      <c r="J2">
        <v>45</v>
      </c>
      <c r="K2">
        <v>1</v>
      </c>
    </row>
    <row r="3" spans="1:11" x14ac:dyDescent="0.25">
      <c r="A3" t="s">
        <v>53</v>
      </c>
      <c r="C3" t="s">
        <v>26</v>
      </c>
      <c r="D3" t="s">
        <v>84</v>
      </c>
      <c r="E3" t="s">
        <v>59</v>
      </c>
      <c r="G3">
        <v>16</v>
      </c>
      <c r="H3">
        <v>16</v>
      </c>
      <c r="I3">
        <v>40</v>
      </c>
      <c r="J3">
        <v>40.5</v>
      </c>
      <c r="K3">
        <v>2</v>
      </c>
    </row>
    <row r="4" spans="1:11" x14ac:dyDescent="0.25">
      <c r="A4" t="s">
        <v>54</v>
      </c>
      <c r="C4" t="s">
        <v>63</v>
      </c>
      <c r="D4" t="s">
        <v>84</v>
      </c>
      <c r="E4" t="s">
        <v>59</v>
      </c>
      <c r="G4">
        <v>4</v>
      </c>
      <c r="H4">
        <v>4</v>
      </c>
      <c r="I4">
        <v>35</v>
      </c>
      <c r="J4">
        <v>36</v>
      </c>
      <c r="K4">
        <v>3</v>
      </c>
    </row>
    <row r="5" spans="1:11" x14ac:dyDescent="0.25">
      <c r="A5" t="s">
        <v>55</v>
      </c>
      <c r="C5" t="s">
        <v>26</v>
      </c>
      <c r="D5">
        <v>1</v>
      </c>
      <c r="E5" t="s">
        <v>62</v>
      </c>
      <c r="G5">
        <v>8</v>
      </c>
      <c r="H5">
        <v>8</v>
      </c>
      <c r="I5">
        <v>30</v>
      </c>
      <c r="J5">
        <v>31.5</v>
      </c>
      <c r="K5">
        <v>4</v>
      </c>
    </row>
    <row r="6" spans="1:11" x14ac:dyDescent="0.25">
      <c r="A6" t="s">
        <v>56</v>
      </c>
      <c r="C6" t="s">
        <v>63</v>
      </c>
      <c r="D6">
        <v>1</v>
      </c>
      <c r="E6" t="s">
        <v>61</v>
      </c>
      <c r="G6">
        <v>5</v>
      </c>
      <c r="H6">
        <v>5</v>
      </c>
      <c r="I6">
        <v>25</v>
      </c>
      <c r="J6">
        <v>27</v>
      </c>
      <c r="K6">
        <v>5</v>
      </c>
    </row>
    <row r="7" spans="1:11" x14ac:dyDescent="0.25">
      <c r="A7" t="s">
        <v>57</v>
      </c>
      <c r="C7" t="s">
        <v>26</v>
      </c>
      <c r="D7">
        <v>2</v>
      </c>
      <c r="E7" t="s">
        <v>61</v>
      </c>
      <c r="G7">
        <v>16</v>
      </c>
      <c r="H7">
        <v>20</v>
      </c>
      <c r="I7">
        <v>20</v>
      </c>
      <c r="J7">
        <v>22.5</v>
      </c>
      <c r="K7">
        <v>6</v>
      </c>
    </row>
    <row r="8" spans="1:11" x14ac:dyDescent="0.25">
      <c r="A8" t="s">
        <v>54</v>
      </c>
      <c r="C8" t="s">
        <v>63</v>
      </c>
      <c r="D8" t="s">
        <v>84</v>
      </c>
      <c r="E8" t="s">
        <v>61</v>
      </c>
      <c r="G8">
        <v>4</v>
      </c>
      <c r="H8">
        <v>4</v>
      </c>
      <c r="I8" s="1">
        <v>15</v>
      </c>
      <c r="J8">
        <v>18</v>
      </c>
      <c r="K8">
        <v>7</v>
      </c>
    </row>
    <row r="9" spans="1:11" x14ac:dyDescent="0.25">
      <c r="A9" t="s">
        <v>55</v>
      </c>
      <c r="C9" t="s">
        <v>26</v>
      </c>
      <c r="D9">
        <v>2</v>
      </c>
      <c r="E9" t="s">
        <v>59</v>
      </c>
      <c r="G9">
        <v>8</v>
      </c>
      <c r="H9">
        <v>8</v>
      </c>
      <c r="I9" s="1">
        <v>10</v>
      </c>
      <c r="J9">
        <v>13.5</v>
      </c>
      <c r="K9">
        <v>5</v>
      </c>
    </row>
    <row r="10" spans="1:11" x14ac:dyDescent="0.25">
      <c r="A10" t="s">
        <v>56</v>
      </c>
      <c r="C10" t="s">
        <v>63</v>
      </c>
      <c r="D10">
        <v>2</v>
      </c>
      <c r="E10" t="s">
        <v>59</v>
      </c>
      <c r="G10">
        <v>8</v>
      </c>
      <c r="H10">
        <v>8</v>
      </c>
      <c r="I10" s="1">
        <v>5</v>
      </c>
      <c r="J10">
        <v>9</v>
      </c>
      <c r="K10">
        <v>9</v>
      </c>
    </row>
    <row r="11" spans="1:11" x14ac:dyDescent="0.25">
      <c r="A11" t="s">
        <v>57</v>
      </c>
      <c r="C11" t="s">
        <v>26</v>
      </c>
      <c r="D11">
        <v>2</v>
      </c>
      <c r="E11" t="s">
        <v>60</v>
      </c>
      <c r="G11">
        <v>16</v>
      </c>
      <c r="H11">
        <v>20</v>
      </c>
      <c r="I11" s="1">
        <v>0</v>
      </c>
      <c r="J11">
        <v>4.5</v>
      </c>
      <c r="K11">
        <v>10</v>
      </c>
    </row>
    <row r="12" spans="1:11" x14ac:dyDescent="0.25">
      <c r="I12" s="1"/>
      <c r="J12">
        <v>0</v>
      </c>
      <c r="K12">
        <v>11</v>
      </c>
    </row>
    <row r="13" spans="1:11" x14ac:dyDescent="0.25">
      <c r="I13" s="7"/>
      <c r="K13">
        <v>12</v>
      </c>
    </row>
    <row r="14" spans="1:11" x14ac:dyDescent="0.25">
      <c r="I14" s="1"/>
      <c r="J14" s="1"/>
      <c r="K14">
        <v>13</v>
      </c>
    </row>
    <row r="15" spans="1:11" x14ac:dyDescent="0.25">
      <c r="I15" s="7"/>
      <c r="J15" s="1"/>
      <c r="K15">
        <v>14</v>
      </c>
    </row>
    <row r="16" spans="1:11" x14ac:dyDescent="0.25">
      <c r="I16" s="7"/>
      <c r="J16" s="1"/>
      <c r="K16">
        <v>15</v>
      </c>
    </row>
    <row r="17" spans="7:14" x14ac:dyDescent="0.25">
      <c r="I17" s="7"/>
      <c r="J17" s="1"/>
      <c r="K17">
        <v>16</v>
      </c>
    </row>
    <row r="18" spans="7:14" x14ac:dyDescent="0.25">
      <c r="I18"/>
      <c r="J18" s="1"/>
      <c r="K18">
        <v>17</v>
      </c>
    </row>
    <row r="19" spans="7:14" x14ac:dyDescent="0.25">
      <c r="I19"/>
      <c r="K19">
        <v>18</v>
      </c>
    </row>
    <row r="20" spans="7:14" x14ac:dyDescent="0.25">
      <c r="I20"/>
      <c r="K20">
        <v>19</v>
      </c>
    </row>
    <row r="21" spans="7:14" x14ac:dyDescent="0.25">
      <c r="I21"/>
      <c r="K21">
        <v>20</v>
      </c>
    </row>
    <row r="22" spans="7:14" x14ac:dyDescent="0.25">
      <c r="I22"/>
      <c r="K22">
        <v>21</v>
      </c>
    </row>
    <row r="23" spans="7:14" x14ac:dyDescent="0.25">
      <c r="I23"/>
      <c r="K23">
        <v>22</v>
      </c>
    </row>
    <row r="24" spans="7:14" x14ac:dyDescent="0.25">
      <c r="I24"/>
      <c r="K24">
        <v>23</v>
      </c>
    </row>
    <row r="25" spans="7:14" x14ac:dyDescent="0.25">
      <c r="I25"/>
      <c r="K25">
        <v>24</v>
      </c>
    </row>
    <row r="26" spans="7:14" x14ac:dyDescent="0.25">
      <c r="I26"/>
      <c r="K26">
        <v>25</v>
      </c>
    </row>
    <row r="27" spans="7:14" x14ac:dyDescent="0.25">
      <c r="I27"/>
      <c r="K27">
        <v>26</v>
      </c>
    </row>
    <row r="28" spans="7:14" x14ac:dyDescent="0.25">
      <c r="G28" t="s">
        <v>48</v>
      </c>
      <c r="H28" t="s">
        <v>47</v>
      </c>
      <c r="I28"/>
      <c r="K28">
        <v>27</v>
      </c>
    </row>
    <row r="29" spans="7:14" x14ac:dyDescent="0.25">
      <c r="G29">
        <v>8</v>
      </c>
      <c r="H29">
        <v>12</v>
      </c>
      <c r="I29" s="3">
        <v>12</v>
      </c>
      <c r="K29" s="3"/>
      <c r="M29" s="18">
        <f>SUM(G2:G11)</f>
        <v>93</v>
      </c>
      <c r="N29" s="18">
        <f>SUM(H2:H11)</f>
        <v>102</v>
      </c>
    </row>
    <row r="30" spans="7:14" x14ac:dyDescent="0.25">
      <c r="G30">
        <v>16</v>
      </c>
      <c r="H30">
        <v>25</v>
      </c>
      <c r="I30" s="3">
        <v>25</v>
      </c>
      <c r="K30" s="3"/>
      <c r="M30" s="21">
        <f>M29/N29</f>
        <v>0.91176470588235292</v>
      </c>
      <c r="N30" s="21"/>
    </row>
    <row r="31" spans="7:14" x14ac:dyDescent="0.25">
      <c r="G31">
        <v>4</v>
      </c>
      <c r="H31">
        <v>10</v>
      </c>
      <c r="I31" s="3">
        <v>10</v>
      </c>
      <c r="K31" s="3"/>
      <c r="M31" s="18"/>
      <c r="N31" s="18"/>
    </row>
    <row r="32" spans="7:14" x14ac:dyDescent="0.25">
      <c r="G32">
        <v>8</v>
      </c>
      <c r="H32">
        <v>2</v>
      </c>
      <c r="I32" s="3">
        <v>10</v>
      </c>
      <c r="K32" s="3"/>
      <c r="M32" s="18"/>
      <c r="N32" s="18"/>
    </row>
    <row r="33" spans="7:14" x14ac:dyDescent="0.25">
      <c r="G33">
        <v>5</v>
      </c>
      <c r="H33">
        <v>10</v>
      </c>
      <c r="I33" s="3">
        <v>10</v>
      </c>
      <c r="K33" s="19">
        <f>COUNTIF(D:D,"atual")</f>
        <v>4</v>
      </c>
      <c r="L33" s="18" t="s">
        <v>64</v>
      </c>
      <c r="M33" s="22">
        <f>SUMIF(E:E,"Desenvolvimento",H:H)</f>
        <v>45</v>
      </c>
      <c r="N33" s="18" t="s">
        <v>59</v>
      </c>
    </row>
    <row r="34" spans="7:14" x14ac:dyDescent="0.25">
      <c r="G34">
        <v>16</v>
      </c>
      <c r="H34">
        <v>20</v>
      </c>
      <c r="I34" s="3">
        <v>20</v>
      </c>
      <c r="K34" s="19">
        <f>COUNTIFS(C:C,"Pendente",D:D,"atual")</f>
        <v>2</v>
      </c>
      <c r="L34" s="18" t="s">
        <v>26</v>
      </c>
      <c r="M34" s="20">
        <f>SUMIF(E:E,"Teste",H:H)</f>
        <v>29</v>
      </c>
      <c r="N34" s="18" t="s">
        <v>61</v>
      </c>
    </row>
    <row r="35" spans="7:14" x14ac:dyDescent="0.25">
      <c r="G35">
        <v>4</v>
      </c>
      <c r="H35">
        <v>8</v>
      </c>
      <c r="I35" s="3">
        <v>8</v>
      </c>
      <c r="K35" s="19">
        <f>COUNTIFS(C:C,"Aprovada",D:D,"atual")</f>
        <v>2</v>
      </c>
      <c r="L35" s="18" t="s">
        <v>63</v>
      </c>
      <c r="M35" s="22">
        <f>SUMIF(E:E,"Documentacao",H:H)</f>
        <v>8</v>
      </c>
      <c r="N35" s="18" t="s">
        <v>62</v>
      </c>
    </row>
    <row r="36" spans="7:14" x14ac:dyDescent="0.25">
      <c r="G36">
        <v>8</v>
      </c>
      <c r="H36">
        <v>10</v>
      </c>
      <c r="I36" s="3">
        <v>10</v>
      </c>
      <c r="K36" s="20"/>
      <c r="L36" s="18"/>
      <c r="M36" s="22">
        <v>5</v>
      </c>
      <c r="N36" s="18" t="s">
        <v>65</v>
      </c>
    </row>
    <row r="37" spans="7:14" x14ac:dyDescent="0.25">
      <c r="G37">
        <v>8</v>
      </c>
      <c r="H37">
        <v>11</v>
      </c>
      <c r="I37" s="3">
        <v>10</v>
      </c>
      <c r="K37" s="18">
        <f>COUNTA(A:A)-1</f>
        <v>10</v>
      </c>
      <c r="L37" s="18" t="s">
        <v>64</v>
      </c>
    </row>
    <row r="38" spans="7:14" x14ac:dyDescent="0.25">
      <c r="G38">
        <v>16</v>
      </c>
      <c r="H38">
        <v>20</v>
      </c>
      <c r="I38" s="3">
        <v>20</v>
      </c>
      <c r="K38" s="18">
        <f>COUNTIF(C:C,"Pendente")</f>
        <v>6</v>
      </c>
      <c r="L38" s="18" t="s">
        <v>26</v>
      </c>
    </row>
    <row r="39" spans="7:14" x14ac:dyDescent="0.25">
      <c r="G39">
        <v>4</v>
      </c>
      <c r="H39">
        <v>5</v>
      </c>
      <c r="K39" s="18">
        <f>COUNTIF(C:C,"Aprovada")</f>
        <v>4</v>
      </c>
      <c r="L39" s="18" t="s">
        <v>63</v>
      </c>
    </row>
    <row r="40" spans="7:14" x14ac:dyDescent="0.25">
      <c r="G40">
        <v>8</v>
      </c>
      <c r="H40">
        <v>2</v>
      </c>
    </row>
    <row r="41" spans="7:14" x14ac:dyDescent="0.25">
      <c r="G41">
        <v>5</v>
      </c>
      <c r="H41">
        <v>10</v>
      </c>
    </row>
    <row r="42" spans="7:14" x14ac:dyDescent="0.25">
      <c r="G42">
        <v>16</v>
      </c>
      <c r="H42">
        <v>20</v>
      </c>
    </row>
    <row r="43" spans="7:14" x14ac:dyDescent="0.25">
      <c r="G43">
        <v>4</v>
      </c>
      <c r="H43">
        <v>8</v>
      </c>
    </row>
    <row r="44" spans="7:14" x14ac:dyDescent="0.25">
      <c r="G44">
        <v>8</v>
      </c>
      <c r="H44">
        <v>10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J5"/>
  <sheetViews>
    <sheetView workbookViewId="0">
      <selection activeCell="D12" sqref="D12"/>
    </sheetView>
  </sheetViews>
  <sheetFormatPr defaultRowHeight="15" x14ac:dyDescent="0.25"/>
  <cols>
    <col min="1" max="1" width="25.7109375" customWidth="1"/>
    <col min="2" max="2" width="28.85546875" customWidth="1"/>
    <col min="3" max="3" width="27.140625" customWidth="1"/>
    <col min="4" max="4" width="9.140625" style="3"/>
    <col min="6" max="6" width="22.42578125" style="3" customWidth="1"/>
  </cols>
  <sheetData>
    <row r="1" spans="1:10" s="16" customFormat="1" x14ac:dyDescent="0.25">
      <c r="A1" s="16" t="s">
        <v>46</v>
      </c>
      <c r="B1" s="16" t="s">
        <v>45</v>
      </c>
      <c r="C1" s="16" t="s">
        <v>44</v>
      </c>
      <c r="D1" s="17" t="s">
        <v>49</v>
      </c>
      <c r="E1" s="16" t="s">
        <v>51</v>
      </c>
      <c r="F1" s="17" t="s">
        <v>58</v>
      </c>
      <c r="G1" s="16" t="s">
        <v>82</v>
      </c>
    </row>
    <row r="2" spans="1:10" x14ac:dyDescent="0.25">
      <c r="A2" t="s">
        <v>67</v>
      </c>
      <c r="B2" t="s">
        <v>68</v>
      </c>
      <c r="C2" t="s">
        <v>69</v>
      </c>
      <c r="D2" s="3">
        <v>1.5</v>
      </c>
      <c r="E2">
        <v>1</v>
      </c>
    </row>
    <row r="3" spans="1:10" x14ac:dyDescent="0.25">
      <c r="A3" t="s">
        <v>67</v>
      </c>
      <c r="B3" t="s">
        <v>68</v>
      </c>
      <c r="C3" t="s">
        <v>69</v>
      </c>
      <c r="D3" s="3">
        <v>2</v>
      </c>
      <c r="E3">
        <v>2</v>
      </c>
      <c r="F3" s="3">
        <v>1</v>
      </c>
      <c r="I3" s="18">
        <f>COUNTIF(E:E,"2")</f>
        <v>2</v>
      </c>
      <c r="J3" s="18" t="s">
        <v>85</v>
      </c>
    </row>
    <row r="4" spans="1:10" x14ac:dyDescent="0.25">
      <c r="A4" t="s">
        <v>67</v>
      </c>
      <c r="B4" t="s">
        <v>68</v>
      </c>
      <c r="C4" t="s">
        <v>69</v>
      </c>
      <c r="D4" s="3">
        <v>1</v>
      </c>
      <c r="E4">
        <v>2</v>
      </c>
      <c r="F4" s="3">
        <v>3</v>
      </c>
      <c r="I4" s="18">
        <f>SUMIF(E:E,"2",F:F)</f>
        <v>4</v>
      </c>
      <c r="J4" s="18" t="s">
        <v>49</v>
      </c>
    </row>
    <row r="5" spans="1:10" x14ac:dyDescent="0.25">
      <c r="A5" t="s">
        <v>67</v>
      </c>
      <c r="B5" t="s">
        <v>68</v>
      </c>
      <c r="C5" t="s">
        <v>69</v>
      </c>
      <c r="D5" s="3">
        <v>0.5</v>
      </c>
      <c r="E5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Projeto</vt:lpstr>
      <vt:lpstr>BackLogProduto</vt:lpstr>
      <vt:lpstr>Sprints</vt:lpstr>
      <vt:lpstr>Atividades</vt:lpstr>
      <vt:lpstr>Bugs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</dc:creator>
  <cp:lastModifiedBy>Edgar</cp:lastModifiedBy>
  <dcterms:created xsi:type="dcterms:W3CDTF">2015-04-30T18:29:21Z</dcterms:created>
  <dcterms:modified xsi:type="dcterms:W3CDTF">2015-08-20T21:38:41Z</dcterms:modified>
</cp:coreProperties>
</file>